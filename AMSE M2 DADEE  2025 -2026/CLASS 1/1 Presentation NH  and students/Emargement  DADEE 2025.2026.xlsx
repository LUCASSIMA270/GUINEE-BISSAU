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91edcbc9ddd0b6/Documents/AMSE M2/M2 2025 2026/"/>
    </mc:Choice>
  </mc:AlternateContent>
  <xr:revisionPtr revIDLastSave="0" documentId="8_{D55EE961-FF8E-4C3C-BC11-1212897AD7A5}" xr6:coauthVersionLast="47" xr6:coauthVersionMax="47" xr10:uidLastSave="{00000000-0000-0000-0000-000000000000}"/>
  <bookViews>
    <workbookView xWindow="28680" yWindow="-120" windowWidth="29040" windowHeight="15720" xr2:uid="{4564280B-411E-4034-AE76-64B35197D9D1}"/>
  </bookViews>
  <sheets>
    <sheet name="Emargement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1" i="2" l="1"/>
  <c r="M21" i="2"/>
  <c r="L21" i="2"/>
  <c r="K21" i="2"/>
</calcChain>
</file>

<file path=xl/sharedStrings.xml><?xml version="1.0" encoding="utf-8"?>
<sst xmlns="http://schemas.openxmlformats.org/spreadsheetml/2006/main" count="238" uniqueCount="119">
  <si>
    <t>M2 DADEE</t>
  </si>
  <si>
    <t xml:space="preserve">Date : </t>
  </si>
  <si>
    <t>N°Etudiant</t>
  </si>
  <si>
    <t>Nom</t>
  </si>
  <si>
    <t>Prénom</t>
  </si>
  <si>
    <t>Parcours</t>
  </si>
  <si>
    <t>Emargement</t>
  </si>
  <si>
    <t>23010368</t>
  </si>
  <si>
    <t>CHEVRAND</t>
  </si>
  <si>
    <t>Olivia</t>
  </si>
  <si>
    <t>DADEE</t>
  </si>
  <si>
    <t>23024788</t>
  </si>
  <si>
    <t>CODJO</t>
  </si>
  <si>
    <t>Sedjro</t>
  </si>
  <si>
    <t>DE SAINT MARTIN</t>
  </si>
  <si>
    <t>Octave</t>
  </si>
  <si>
    <t>21230386</t>
  </si>
  <si>
    <t>DIEYE</t>
  </si>
  <si>
    <t>Pape Oumar</t>
  </si>
  <si>
    <t>24025714</t>
  </si>
  <si>
    <t>EL MIR</t>
  </si>
  <si>
    <t>Hassan</t>
  </si>
  <si>
    <t>24021109</t>
  </si>
  <si>
    <t>FONSECA</t>
  </si>
  <si>
    <t>Santiago</t>
  </si>
  <si>
    <t>20011143</t>
  </si>
  <si>
    <t>HEDROUG</t>
  </si>
  <si>
    <t xml:space="preserve">Ahmed-Zakaria </t>
  </si>
  <si>
    <t>19012172</t>
  </si>
  <si>
    <t>KUZNZTCOV</t>
  </si>
  <si>
    <t>Mark</t>
  </si>
  <si>
    <t>22008733</t>
  </si>
  <si>
    <t>LABBE-SORIN</t>
  </si>
  <si>
    <t>Youen</t>
  </si>
  <si>
    <t>23026656</t>
  </si>
  <si>
    <t>LAINES MEDINA</t>
  </si>
  <si>
    <t>Betsy Jakelin</t>
  </si>
  <si>
    <t>24031912</t>
  </si>
  <si>
    <t>LOUM</t>
  </si>
  <si>
    <t xml:space="preserve">Khadijatou </t>
  </si>
  <si>
    <t>20027038</t>
  </si>
  <si>
    <t>LU</t>
  </si>
  <si>
    <t>YATING</t>
  </si>
  <si>
    <t>22001119</t>
  </si>
  <si>
    <t>MALLOT</t>
  </si>
  <si>
    <t>louis</t>
  </si>
  <si>
    <t>24027908</t>
  </si>
  <si>
    <t>PHON</t>
  </si>
  <si>
    <t>Vortey</t>
  </si>
  <si>
    <t>24000419</t>
  </si>
  <si>
    <t>SECK</t>
  </si>
  <si>
    <t>Nicolas</t>
  </si>
  <si>
    <t>24022547</t>
  </si>
  <si>
    <t>SIMATOVIC</t>
  </si>
  <si>
    <t>Lucas</t>
  </si>
  <si>
    <t>Erasmus centrale</t>
  </si>
  <si>
    <t>Cindy</t>
  </si>
  <si>
    <t>M2 DADEE 2025.2026</t>
  </si>
  <si>
    <t>Mail collectif :</t>
  </si>
  <si>
    <t>NON ACTIF pour le MOMENT</t>
  </si>
  <si>
    <t>etape-bec5af@etulistes.univ-amu.fr</t>
  </si>
  <si>
    <t>Possible contrat</t>
  </si>
  <si>
    <t>Nr étud</t>
  </si>
  <si>
    <t>Last Name</t>
  </si>
  <si>
    <t>First Name</t>
  </si>
  <si>
    <t>Nationalité</t>
  </si>
  <si>
    <t>Email address (univ-amu)</t>
  </si>
  <si>
    <t>Personal address</t>
  </si>
  <si>
    <t>Provenance</t>
  </si>
  <si>
    <t>Confirmation</t>
  </si>
  <si>
    <t>Inscription</t>
  </si>
  <si>
    <t>Alternants</t>
  </si>
  <si>
    <t>MAG</t>
  </si>
  <si>
    <t>Remarque</t>
  </si>
  <si>
    <t>eCandidat</t>
  </si>
  <si>
    <t>France</t>
  </si>
  <si>
    <t>olivia.chevrand@etu.univ-amu.fr</t>
  </si>
  <si>
    <t>Economics</t>
  </si>
  <si>
    <t>M1 and Mag2</t>
  </si>
  <si>
    <t>Bénin</t>
  </si>
  <si>
    <t>sedjro.codjo@etu.univ-amu.fr</t>
  </si>
  <si>
    <t>M1</t>
  </si>
  <si>
    <t>octave.DE-SAINT-MARTIN@etu.univ-amu.fr</t>
  </si>
  <si>
    <t>Sénégal</t>
  </si>
  <si>
    <t>pape-oumar.DIEYE@etu.univ-amu.fr</t>
  </si>
  <si>
    <t>Liban</t>
  </si>
  <si>
    <t>hassan.EL-MIR@etu.univ-amu.fr</t>
  </si>
  <si>
    <t>Colombie</t>
  </si>
  <si>
    <t>santiago.fonseca-guerrero@etu.univ-amu.fr</t>
  </si>
  <si>
    <t>24023937</t>
  </si>
  <si>
    <t>JMILI</t>
  </si>
  <si>
    <t>cindy.jmili@etu.univ-amu.fr</t>
  </si>
  <si>
    <t>M1 Economics</t>
  </si>
  <si>
    <t>ahmed-zakaria.hedroug@etu.univ-amu.fr</t>
  </si>
  <si>
    <t>ahmed.hedroug@icloud.com</t>
  </si>
  <si>
    <t>M1 Economie appliquée Lille</t>
  </si>
  <si>
    <t>Russie</t>
  </si>
  <si>
    <t>mark.kuznetcov@etu.univ-amu.fr</t>
  </si>
  <si>
    <t>youen.labbe--sorin@etu.univ-amu.fr</t>
  </si>
  <si>
    <t>Péruvienne</t>
  </si>
  <si>
    <t>betsy-jakelin.laines-medina@etu.univ-amu.fr</t>
  </si>
  <si>
    <t>khadijatou.loum@etu.univ-amu.fr</t>
  </si>
  <si>
    <t>CHINE</t>
  </si>
  <si>
    <t>yating.lu@etu.univ-amu.fr</t>
  </si>
  <si>
    <t>louis.mallot@etu.univ-amu.fr</t>
  </si>
  <si>
    <t>Combodge</t>
  </si>
  <si>
    <t>vortey.phon@etu.univ-amu.fr</t>
  </si>
  <si>
    <t>nicolas.seck@etu.univ-amu.fr</t>
  </si>
  <si>
    <t>M1 Eco de l'entreprise- Besançn</t>
  </si>
  <si>
    <t>lucas.simatovic@etu.univ-amu.fr</t>
  </si>
  <si>
    <t>Erasmus</t>
  </si>
  <si>
    <t>KAFY</t>
  </si>
  <si>
    <t>Eva Nur Malinda</t>
  </si>
  <si>
    <t>Indonésie</t>
  </si>
  <si>
    <t>nur.nurmalindakafy@etu.univ-amu.fr</t>
  </si>
  <si>
    <t>evanur.malindakafy@studio.unibo.it</t>
  </si>
  <si>
    <t>Echange Centrale et Université de Bologne</t>
  </si>
  <si>
    <t>Enseignants : Nicole HANSSEN</t>
  </si>
  <si>
    <t>Cours : Management de projet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</si>
</sst>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CCFF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9">
    <xf numFmtId="0" fontId="0" fillId="0" borderId="0" xfId="0"/>
    <xf numFmtId="0" fontId="1" fillId="3" borderId="13" xfId="0" applyFont="1" applyFill="1" applyBorder="1" applyAlignment="1">
      <alignment horizontal="center" vertical="top"/>
    </xf>
    <xf numFmtId="20" fontId="1" fillId="3" borderId="14" xfId="0" applyNumberFormat="1" applyFont="1" applyFill="1" applyBorder="1" applyAlignment="1">
      <alignment horizontal="center" vertical="top"/>
    </xf>
    <xf numFmtId="0" fontId="1" fillId="3" borderId="14" xfId="0" applyFont="1" applyFill="1" applyBorder="1" applyAlignment="1">
      <alignment horizontal="center" vertical="top" wrapText="1"/>
    </xf>
    <xf numFmtId="0" fontId="1" fillId="3" borderId="15" xfId="0" applyFont="1" applyFill="1" applyBorder="1" applyAlignment="1">
      <alignment horizontal="center" vertical="top" wrapText="1"/>
    </xf>
    <xf numFmtId="0" fontId="1" fillId="3" borderId="16" xfId="0" applyFont="1" applyFill="1" applyBorder="1" applyAlignment="1">
      <alignment horizontal="center" vertical="top" wrapText="1"/>
    </xf>
    <xf numFmtId="0" fontId="3" fillId="0" borderId="17" xfId="0" applyFont="1" applyBorder="1"/>
    <xf numFmtId="0" fontId="4" fillId="0" borderId="18" xfId="0" applyFont="1" applyBorder="1"/>
    <xf numFmtId="0" fontId="4" fillId="4" borderId="18" xfId="0" applyFont="1" applyFill="1" applyBorder="1" applyAlignment="1">
      <alignment horizontal="left" vertical="top" wrapText="1"/>
    </xf>
    <xf numFmtId="0" fontId="3" fillId="0" borderId="18" xfId="0" applyFont="1" applyBorder="1"/>
    <xf numFmtId="0" fontId="0" fillId="0" borderId="19" xfId="0" applyBorder="1"/>
    <xf numFmtId="0" fontId="3" fillId="0" borderId="7" xfId="0" applyFont="1" applyBorder="1"/>
    <xf numFmtId="0" fontId="4" fillId="0" borderId="8" xfId="0" applyFont="1" applyBorder="1"/>
    <xf numFmtId="0" fontId="4" fillId="4" borderId="8" xfId="0" applyFont="1" applyFill="1" applyBorder="1" applyAlignment="1">
      <alignment horizontal="left" vertical="top" wrapText="1"/>
    </xf>
    <xf numFmtId="0" fontId="3" fillId="0" borderId="8" xfId="0" applyFont="1" applyBorder="1"/>
    <xf numFmtId="0" fontId="0" fillId="0" borderId="9" xfId="0" applyBorder="1"/>
    <xf numFmtId="0" fontId="4" fillId="0" borderId="8" xfId="0" applyFont="1" applyBorder="1" applyAlignment="1">
      <alignment horizontal="left"/>
    </xf>
    <xf numFmtId="0" fontId="5" fillId="4" borderId="8" xfId="0" applyFont="1" applyFill="1" applyBorder="1" applyAlignment="1">
      <alignment horizontal="left" vertical="top"/>
    </xf>
    <xf numFmtId="0" fontId="4" fillId="0" borderId="8" xfId="0" applyFont="1" applyBorder="1" applyAlignment="1">
      <alignment wrapText="1"/>
    </xf>
    <xf numFmtId="0" fontId="3" fillId="0" borderId="10" xfId="0" applyFont="1" applyBorder="1"/>
    <xf numFmtId="0" fontId="3" fillId="0" borderId="11" xfId="0" applyFont="1" applyBorder="1"/>
    <xf numFmtId="0" fontId="0" fillId="0" borderId="12" xfId="0" applyBorder="1"/>
    <xf numFmtId="0" fontId="7" fillId="0" borderId="0" xfId="0" applyFont="1"/>
    <xf numFmtId="0" fontId="1" fillId="0" borderId="0" xfId="0" applyFont="1"/>
    <xf numFmtId="0" fontId="8" fillId="0" borderId="0" xfId="0" applyFont="1"/>
    <xf numFmtId="0" fontId="6" fillId="0" borderId="0" xfId="1"/>
    <xf numFmtId="0" fontId="3" fillId="5" borderId="0" xfId="0" applyFont="1" applyFill="1"/>
    <xf numFmtId="0" fontId="3" fillId="0" borderId="0" xfId="0" applyFont="1"/>
    <xf numFmtId="0" fontId="9" fillId="3" borderId="13" xfId="0" applyFont="1" applyFill="1" applyBorder="1" applyAlignment="1">
      <alignment horizontal="center" vertical="top" wrapText="1"/>
    </xf>
    <xf numFmtId="0" fontId="9" fillId="3" borderId="14" xfId="0" applyFont="1" applyFill="1" applyBorder="1" applyAlignment="1">
      <alignment horizontal="center" vertical="top" wrapText="1"/>
    </xf>
    <xf numFmtId="0" fontId="8" fillId="3" borderId="14" xfId="0" applyFont="1" applyFill="1" applyBorder="1" applyAlignment="1">
      <alignment horizontal="center" vertical="top" wrapText="1"/>
    </xf>
    <xf numFmtId="0" fontId="9" fillId="3" borderId="15" xfId="0" applyFont="1" applyFill="1" applyBorder="1" applyAlignment="1">
      <alignment horizontal="center" vertical="top" wrapText="1"/>
    </xf>
    <xf numFmtId="0" fontId="9" fillId="3" borderId="16" xfId="0" applyFont="1" applyFill="1" applyBorder="1" applyAlignment="1">
      <alignment horizontal="center" vertical="top" wrapText="1"/>
    </xf>
    <xf numFmtId="0" fontId="3" fillId="6" borderId="8" xfId="0" applyFont="1" applyFill="1" applyBorder="1" applyAlignment="1">
      <alignment horizontal="left" vertical="top"/>
    </xf>
    <xf numFmtId="0" fontId="6" fillId="4" borderId="8" xfId="1" applyFill="1" applyBorder="1" applyAlignment="1">
      <alignment horizontal="left" vertical="top" wrapText="1"/>
    </xf>
    <xf numFmtId="0" fontId="3" fillId="4" borderId="8" xfId="0" applyFont="1" applyFill="1" applyBorder="1" applyAlignment="1">
      <alignment horizontal="left" vertical="top" wrapText="1"/>
    </xf>
    <xf numFmtId="0" fontId="10" fillId="4" borderId="8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5" fillId="4" borderId="20" xfId="0" applyFont="1" applyFill="1" applyBorder="1" applyAlignment="1">
      <alignment horizontal="center" vertical="top"/>
    </xf>
    <xf numFmtId="0" fontId="5" fillId="4" borderId="9" xfId="0" applyFont="1" applyFill="1" applyBorder="1" applyAlignment="1">
      <alignment horizontal="left" vertical="top"/>
    </xf>
    <xf numFmtId="0" fontId="5" fillId="5" borderId="8" xfId="0" applyFont="1" applyFill="1" applyBorder="1" applyAlignment="1">
      <alignment horizontal="center" vertical="top"/>
    </xf>
    <xf numFmtId="0" fontId="4" fillId="0" borderId="21" xfId="0" applyFont="1" applyBorder="1" applyAlignment="1">
      <alignment wrapText="1"/>
    </xf>
    <xf numFmtId="0" fontId="3" fillId="0" borderId="8" xfId="0" applyFont="1" applyBorder="1" applyAlignment="1">
      <alignment vertical="top" wrapText="1"/>
    </xf>
    <xf numFmtId="0" fontId="4" fillId="0" borderId="8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/>
    </xf>
    <xf numFmtId="1" fontId="5" fillId="4" borderId="8" xfId="0" applyNumberFormat="1" applyFont="1" applyFill="1" applyBorder="1" applyAlignment="1">
      <alignment horizontal="center" vertical="top" shrinkToFit="1"/>
    </xf>
    <xf numFmtId="1" fontId="5" fillId="4" borderId="20" xfId="0" applyNumberFormat="1" applyFont="1" applyFill="1" applyBorder="1" applyAlignment="1">
      <alignment horizontal="center" vertical="top" shrinkToFit="1"/>
    </xf>
    <xf numFmtId="0" fontId="5" fillId="0" borderId="9" xfId="0" applyFont="1" applyBorder="1" applyAlignment="1">
      <alignment horizontal="left" vertical="top"/>
    </xf>
    <xf numFmtId="0" fontId="12" fillId="4" borderId="8" xfId="0" applyFont="1" applyFill="1" applyBorder="1" applyAlignment="1">
      <alignment horizontal="center" vertical="top"/>
    </xf>
    <xf numFmtId="0" fontId="4" fillId="4" borderId="8" xfId="0" applyFont="1" applyFill="1" applyBorder="1" applyAlignment="1">
      <alignment horizontal="center" vertical="top"/>
    </xf>
    <xf numFmtId="0" fontId="4" fillId="4" borderId="20" xfId="0" applyFont="1" applyFill="1" applyBorder="1" applyAlignment="1">
      <alignment horizontal="center" vertical="top"/>
    </xf>
    <xf numFmtId="0" fontId="4" fillId="4" borderId="9" xfId="0" applyFont="1" applyFill="1" applyBorder="1" applyAlignment="1">
      <alignment horizontal="left" vertical="top"/>
    </xf>
    <xf numFmtId="0" fontId="3" fillId="6" borderId="11" xfId="0" applyFont="1" applyFill="1" applyBorder="1" applyAlignment="1">
      <alignment horizontal="left" vertical="top"/>
    </xf>
    <xf numFmtId="0" fontId="4" fillId="0" borderId="11" xfId="0" applyFont="1" applyBorder="1"/>
    <xf numFmtId="0" fontId="4" fillId="4" borderId="11" xfId="0" applyFont="1" applyFill="1" applyBorder="1" applyAlignment="1">
      <alignment horizontal="left" vertical="top" wrapText="1"/>
    </xf>
    <xf numFmtId="0" fontId="3" fillId="4" borderId="11" xfId="0" applyFont="1" applyFill="1" applyBorder="1" applyAlignment="1">
      <alignment horizontal="left" vertical="top" wrapText="1"/>
    </xf>
    <xf numFmtId="0" fontId="10" fillId="4" borderId="11" xfId="0" applyFont="1" applyFill="1" applyBorder="1" applyAlignment="1">
      <alignment horizontal="center" vertical="top"/>
    </xf>
    <xf numFmtId="0" fontId="5" fillId="4" borderId="11" xfId="0" applyFont="1" applyFill="1" applyBorder="1" applyAlignment="1">
      <alignment horizontal="center" vertical="top"/>
    </xf>
    <xf numFmtId="0" fontId="5" fillId="4" borderId="22" xfId="0" applyFont="1" applyFill="1" applyBorder="1" applyAlignment="1">
      <alignment horizontal="center" vertical="top"/>
    </xf>
    <xf numFmtId="0" fontId="11" fillId="4" borderId="12" xfId="0" applyFont="1" applyFill="1" applyBorder="1" applyAlignment="1">
      <alignment horizontal="left" vertical="top"/>
    </xf>
    <xf numFmtId="0" fontId="3" fillId="0" borderId="23" xfId="0" applyFont="1" applyBorder="1"/>
    <xf numFmtId="0" fontId="3" fillId="7" borderId="24" xfId="0" applyFont="1" applyFill="1" applyBorder="1" applyAlignment="1">
      <alignment horizontal="left" vertical="top"/>
    </xf>
    <xf numFmtId="0" fontId="3" fillId="0" borderId="24" xfId="0" applyFont="1" applyBorder="1"/>
    <xf numFmtId="0" fontId="6" fillId="0" borderId="24" xfId="1" applyBorder="1"/>
    <xf numFmtId="0" fontId="4" fillId="4" borderId="24" xfId="0" applyFont="1" applyFill="1" applyBorder="1" applyAlignment="1">
      <alignment horizontal="left" vertical="top" wrapText="1"/>
    </xf>
    <xf numFmtId="0" fontId="0" fillId="0" borderId="25" xfId="0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9" fillId="3" borderId="14" xfId="0" applyFont="1" applyFill="1" applyBorder="1" applyAlignment="1">
      <alignment horizontal="center" vertical="top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3</xdr:col>
      <xdr:colOff>723900</xdr:colOff>
      <xdr:row>3</xdr:row>
      <xdr:rowOff>47625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F3D9167-A77F-490E-ADB6-7DEA71E4E11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95250"/>
          <a:ext cx="2705100" cy="523875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0</xdr:row>
      <xdr:rowOff>19050</xdr:rowOff>
    </xdr:from>
    <xdr:to>
      <xdr:col>5</xdr:col>
      <xdr:colOff>914400</xdr:colOff>
      <xdr:row>3</xdr:row>
      <xdr:rowOff>38100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28B79E1-5217-4938-9537-3B894AFC5A5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19050"/>
          <a:ext cx="1733550" cy="590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yating.lu@etu.univ-amu.fr" TargetMode="External"/><Relationship Id="rId13" Type="http://schemas.openxmlformats.org/officeDocument/2006/relationships/hyperlink" Target="mailto:cindy.jmili@etu.univ-amu.fr" TargetMode="External"/><Relationship Id="rId3" Type="http://schemas.openxmlformats.org/officeDocument/2006/relationships/hyperlink" Target="mailto:hassan.EL-MIR@etu.univ-amu.fr" TargetMode="External"/><Relationship Id="rId7" Type="http://schemas.openxmlformats.org/officeDocument/2006/relationships/hyperlink" Target="mailto:vortey.phon@etu.univ-amu.fr" TargetMode="External"/><Relationship Id="rId12" Type="http://schemas.openxmlformats.org/officeDocument/2006/relationships/hyperlink" Target="mailto:evanur.malindakafy@studio.unibo.it" TargetMode="External"/><Relationship Id="rId2" Type="http://schemas.openxmlformats.org/officeDocument/2006/relationships/hyperlink" Target="mailto:octave.DE-SAINT-MARTIN@etu.univ-amu.fr" TargetMode="External"/><Relationship Id="rId1" Type="http://schemas.openxmlformats.org/officeDocument/2006/relationships/hyperlink" Target="mailto:olivia.chevrand@etu.univ-amu.fr" TargetMode="External"/><Relationship Id="rId6" Type="http://schemas.openxmlformats.org/officeDocument/2006/relationships/hyperlink" Target="mailto:khadijatou.loum@etu.univ-amu.fr" TargetMode="External"/><Relationship Id="rId11" Type="http://schemas.openxmlformats.org/officeDocument/2006/relationships/hyperlink" Target="mailto:etape-bec5af@etulistes.univ-amu.fr" TargetMode="External"/><Relationship Id="rId5" Type="http://schemas.openxmlformats.org/officeDocument/2006/relationships/hyperlink" Target="mailto:mark.kuznetcov@etu.univ-amu.fr" TargetMode="External"/><Relationship Id="rId10" Type="http://schemas.openxmlformats.org/officeDocument/2006/relationships/hyperlink" Target="mailto:betsy-jakelin.laines-medina@etu.univ-amu.fr" TargetMode="External"/><Relationship Id="rId4" Type="http://schemas.openxmlformats.org/officeDocument/2006/relationships/hyperlink" Target="mailto:santiago.fonseca-guerrero@etu.univ-amu.fr" TargetMode="External"/><Relationship Id="rId9" Type="http://schemas.openxmlformats.org/officeDocument/2006/relationships/hyperlink" Target="mailto:sedjro.codjo@etu.univ-amu.fr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DE5C6-C79C-4E2D-9943-E05FF6775790}">
  <dimension ref="A5:F29"/>
  <sheetViews>
    <sheetView tabSelected="1" workbookViewId="0">
      <selection activeCell="H14" sqref="H14"/>
    </sheetView>
  </sheetViews>
  <sheetFormatPr baseColWidth="10" defaultRowHeight="14.4" x14ac:dyDescent="0.3"/>
  <cols>
    <col min="1" max="1" width="3.33203125" bestFit="1" customWidth="1"/>
    <col min="2" max="2" width="10.88671875" customWidth="1"/>
    <col min="3" max="3" width="16.5546875" customWidth="1"/>
    <col min="4" max="4" width="19.88671875" customWidth="1"/>
    <col min="5" max="5" width="14.88671875" customWidth="1"/>
    <col min="6" max="6" width="16.5546875" bestFit="1" customWidth="1"/>
  </cols>
  <sheetData>
    <row r="5" spans="1:6" ht="15" thickBot="1" x14ac:dyDescent="0.35"/>
    <row r="6" spans="1:6" ht="21.6" thickBot="1" x14ac:dyDescent="0.35">
      <c r="A6" s="66" t="s">
        <v>0</v>
      </c>
      <c r="B6" s="67"/>
      <c r="C6" s="67"/>
      <c r="D6" s="67"/>
      <c r="E6" s="67"/>
      <c r="F6" s="68"/>
    </row>
    <row r="7" spans="1:6" x14ac:dyDescent="0.3">
      <c r="A7" s="69" t="s">
        <v>118</v>
      </c>
      <c r="B7" s="70"/>
      <c r="C7" s="70"/>
      <c r="D7" s="70"/>
      <c r="E7" s="70"/>
      <c r="F7" s="71"/>
    </row>
    <row r="8" spans="1:6" x14ac:dyDescent="0.3">
      <c r="A8" s="72" t="s">
        <v>117</v>
      </c>
      <c r="B8" s="73"/>
      <c r="C8" s="73"/>
      <c r="D8" s="73"/>
      <c r="E8" s="73"/>
      <c r="F8" s="74"/>
    </row>
    <row r="9" spans="1:6" ht="15" thickBot="1" x14ac:dyDescent="0.35">
      <c r="A9" s="75" t="s">
        <v>1</v>
      </c>
      <c r="B9" s="76"/>
      <c r="C9" s="76"/>
      <c r="D9" s="76"/>
      <c r="E9" s="76"/>
      <c r="F9" s="77"/>
    </row>
    <row r="10" spans="1:6" ht="15" thickBot="1" x14ac:dyDescent="0.35"/>
    <row r="11" spans="1:6" ht="15" thickBot="1" x14ac:dyDescent="0.35">
      <c r="B11" s="1" t="s">
        <v>2</v>
      </c>
      <c r="C11" s="2" t="s">
        <v>3</v>
      </c>
      <c r="D11" s="3" t="s">
        <v>4</v>
      </c>
      <c r="E11" s="4" t="s">
        <v>5</v>
      </c>
      <c r="F11" s="5" t="s">
        <v>6</v>
      </c>
    </row>
    <row r="12" spans="1:6" x14ac:dyDescent="0.3">
      <c r="A12" s="6">
        <v>1</v>
      </c>
      <c r="B12" s="7" t="s">
        <v>7</v>
      </c>
      <c r="C12" s="8" t="s">
        <v>8</v>
      </c>
      <c r="D12" s="8" t="s">
        <v>9</v>
      </c>
      <c r="E12" s="9" t="s">
        <v>10</v>
      </c>
      <c r="F12" s="10"/>
    </row>
    <row r="13" spans="1:6" x14ac:dyDescent="0.3">
      <c r="A13" s="11">
        <v>2</v>
      </c>
      <c r="B13" s="12" t="s">
        <v>11</v>
      </c>
      <c r="C13" s="13" t="s">
        <v>12</v>
      </c>
      <c r="D13" s="13" t="s">
        <v>13</v>
      </c>
      <c r="E13" s="14" t="s">
        <v>10</v>
      </c>
      <c r="F13" s="15"/>
    </row>
    <row r="14" spans="1:6" x14ac:dyDescent="0.3">
      <c r="A14" s="11">
        <v>3</v>
      </c>
      <c r="B14" s="16">
        <v>21233439</v>
      </c>
      <c r="C14" s="13" t="s">
        <v>14</v>
      </c>
      <c r="D14" s="13" t="s">
        <v>15</v>
      </c>
      <c r="E14" s="14" t="s">
        <v>10</v>
      </c>
      <c r="F14" s="15"/>
    </row>
    <row r="15" spans="1:6" x14ac:dyDescent="0.3">
      <c r="A15" s="11">
        <v>4</v>
      </c>
      <c r="B15" s="12" t="s">
        <v>16</v>
      </c>
      <c r="C15" s="17" t="s">
        <v>17</v>
      </c>
      <c r="D15" s="17" t="s">
        <v>18</v>
      </c>
      <c r="E15" s="14" t="s">
        <v>10</v>
      </c>
      <c r="F15" s="15"/>
    </row>
    <row r="16" spans="1:6" x14ac:dyDescent="0.3">
      <c r="A16" s="11">
        <v>5</v>
      </c>
      <c r="B16" s="12" t="s">
        <v>19</v>
      </c>
      <c r="C16" s="13" t="s">
        <v>20</v>
      </c>
      <c r="D16" s="13" t="s">
        <v>21</v>
      </c>
      <c r="E16" s="14" t="s">
        <v>10</v>
      </c>
      <c r="F16" s="15"/>
    </row>
    <row r="17" spans="1:6" x14ac:dyDescent="0.3">
      <c r="A17" s="11">
        <v>6</v>
      </c>
      <c r="B17" s="12" t="s">
        <v>22</v>
      </c>
      <c r="C17" s="13" t="s">
        <v>23</v>
      </c>
      <c r="D17" s="13" t="s">
        <v>24</v>
      </c>
      <c r="E17" s="14" t="s">
        <v>10</v>
      </c>
      <c r="F17" s="15"/>
    </row>
    <row r="18" spans="1:6" x14ac:dyDescent="0.3">
      <c r="A18" s="11">
        <v>7</v>
      </c>
      <c r="B18" s="12" t="s">
        <v>89</v>
      </c>
      <c r="C18" s="18" t="s">
        <v>90</v>
      </c>
      <c r="D18" s="18" t="s">
        <v>56</v>
      </c>
      <c r="E18" s="14" t="s">
        <v>10</v>
      </c>
      <c r="F18" s="15"/>
    </row>
    <row r="19" spans="1:6" x14ac:dyDescent="0.3">
      <c r="A19" s="11">
        <v>8</v>
      </c>
      <c r="B19" s="12" t="s">
        <v>25</v>
      </c>
      <c r="C19" s="12" t="s">
        <v>26</v>
      </c>
      <c r="D19" s="12" t="s">
        <v>27</v>
      </c>
      <c r="E19" s="14" t="s">
        <v>10</v>
      </c>
      <c r="F19" s="15"/>
    </row>
    <row r="20" spans="1:6" x14ac:dyDescent="0.3">
      <c r="A20" s="11">
        <v>9</v>
      </c>
      <c r="B20" s="12" t="s">
        <v>28</v>
      </c>
      <c r="C20" s="13" t="s">
        <v>29</v>
      </c>
      <c r="D20" s="13" t="s">
        <v>30</v>
      </c>
      <c r="E20" s="14" t="s">
        <v>10</v>
      </c>
      <c r="F20" s="15"/>
    </row>
    <row r="21" spans="1:6" x14ac:dyDescent="0.3">
      <c r="A21" s="11">
        <v>10</v>
      </c>
      <c r="B21" s="12" t="s">
        <v>31</v>
      </c>
      <c r="C21" s="12" t="s">
        <v>32</v>
      </c>
      <c r="D21" s="12" t="s">
        <v>33</v>
      </c>
      <c r="E21" s="14" t="s">
        <v>10</v>
      </c>
      <c r="F21" s="15"/>
    </row>
    <row r="22" spans="1:6" x14ac:dyDescent="0.3">
      <c r="A22" s="11">
        <v>11</v>
      </c>
      <c r="B22" s="12" t="s">
        <v>34</v>
      </c>
      <c r="C22" s="18" t="s">
        <v>35</v>
      </c>
      <c r="D22" s="18" t="s">
        <v>36</v>
      </c>
      <c r="E22" s="14" t="s">
        <v>10</v>
      </c>
      <c r="F22" s="15"/>
    </row>
    <row r="23" spans="1:6" x14ac:dyDescent="0.3">
      <c r="A23" s="11">
        <v>12</v>
      </c>
      <c r="B23" s="12" t="s">
        <v>37</v>
      </c>
      <c r="C23" s="13" t="s">
        <v>38</v>
      </c>
      <c r="D23" s="13" t="s">
        <v>39</v>
      </c>
      <c r="E23" s="14" t="s">
        <v>10</v>
      </c>
      <c r="F23" s="15"/>
    </row>
    <row r="24" spans="1:6" x14ac:dyDescent="0.3">
      <c r="A24" s="11">
        <v>13</v>
      </c>
      <c r="B24" s="12" t="s">
        <v>40</v>
      </c>
      <c r="C24" s="13" t="s">
        <v>41</v>
      </c>
      <c r="D24" s="13" t="s">
        <v>42</v>
      </c>
      <c r="E24" s="14" t="s">
        <v>10</v>
      </c>
      <c r="F24" s="15"/>
    </row>
    <row r="25" spans="1:6" x14ac:dyDescent="0.3">
      <c r="A25" s="11">
        <v>14</v>
      </c>
      <c r="B25" s="12" t="s">
        <v>43</v>
      </c>
      <c r="C25" s="13" t="s">
        <v>44</v>
      </c>
      <c r="D25" s="13" t="s">
        <v>45</v>
      </c>
      <c r="E25" s="14" t="s">
        <v>10</v>
      </c>
      <c r="F25" s="15"/>
    </row>
    <row r="26" spans="1:6" x14ac:dyDescent="0.3">
      <c r="A26" s="11">
        <v>15</v>
      </c>
      <c r="B26" s="12" t="s">
        <v>46</v>
      </c>
      <c r="C26" s="13" t="s">
        <v>47</v>
      </c>
      <c r="D26" s="13" t="s">
        <v>48</v>
      </c>
      <c r="E26" s="14" t="s">
        <v>10</v>
      </c>
      <c r="F26" s="15"/>
    </row>
    <row r="27" spans="1:6" x14ac:dyDescent="0.3">
      <c r="A27" s="11">
        <v>16</v>
      </c>
      <c r="B27" s="12" t="s">
        <v>49</v>
      </c>
      <c r="C27" s="12" t="s">
        <v>50</v>
      </c>
      <c r="D27" s="12" t="s">
        <v>51</v>
      </c>
      <c r="E27" s="14" t="s">
        <v>10</v>
      </c>
      <c r="F27" s="15"/>
    </row>
    <row r="28" spans="1:6" x14ac:dyDescent="0.3">
      <c r="A28" s="11">
        <v>17</v>
      </c>
      <c r="B28" s="12" t="s">
        <v>52</v>
      </c>
      <c r="C28" s="13" t="s">
        <v>53</v>
      </c>
      <c r="D28" s="13" t="s">
        <v>54</v>
      </c>
      <c r="E28" s="14" t="s">
        <v>10</v>
      </c>
      <c r="F28" s="15"/>
    </row>
    <row r="29" spans="1:6" ht="15" thickBot="1" x14ac:dyDescent="0.35">
      <c r="A29" s="19">
        <v>18</v>
      </c>
      <c r="B29" s="20">
        <v>25029396</v>
      </c>
      <c r="C29" s="20" t="s">
        <v>111</v>
      </c>
      <c r="D29" s="20" t="s">
        <v>112</v>
      </c>
      <c r="E29" s="20" t="s">
        <v>55</v>
      </c>
      <c r="F29" s="21"/>
    </row>
  </sheetData>
  <mergeCells count="4">
    <mergeCell ref="A6:F6"/>
    <mergeCell ref="A7:F7"/>
    <mergeCell ref="A8:F8"/>
    <mergeCell ref="A9:F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B0D99-0FE9-4BAA-A5EF-2828090CC9F0}">
  <dimension ref="A1:O22"/>
  <sheetViews>
    <sheetView workbookViewId="0">
      <selection activeCell="C22" sqref="C22:E22"/>
    </sheetView>
  </sheetViews>
  <sheetFormatPr baseColWidth="10" defaultRowHeight="14.4" x14ac:dyDescent="0.3"/>
  <cols>
    <col min="1" max="1" width="3.33203125" customWidth="1"/>
    <col min="4" max="4" width="19.33203125" customWidth="1"/>
    <col min="5" max="5" width="12.88671875" customWidth="1"/>
    <col min="6" max="6" width="14.33203125" customWidth="1"/>
    <col min="7" max="8" width="41.109375" customWidth="1"/>
    <col min="9" max="9" width="43.6640625" customWidth="1"/>
    <col min="10" max="10" width="23.44140625" customWidth="1"/>
    <col min="11" max="14" width="12.6640625" customWidth="1"/>
    <col min="15" max="15" width="41.5546875" customWidth="1"/>
  </cols>
  <sheetData>
    <row r="1" spans="1:15" ht="18" x14ac:dyDescent="0.35">
      <c r="C1" s="22" t="s">
        <v>57</v>
      </c>
      <c r="F1" s="23" t="s">
        <v>58</v>
      </c>
      <c r="G1" s="24" t="s">
        <v>59</v>
      </c>
      <c r="H1" s="25" t="s">
        <v>60</v>
      </c>
      <c r="M1" s="26" t="s">
        <v>61</v>
      </c>
    </row>
    <row r="2" spans="1:15" ht="18.600000000000001" thickBot="1" x14ac:dyDescent="0.4">
      <c r="D2" s="22"/>
      <c r="F2" s="23"/>
      <c r="G2" s="25"/>
      <c r="H2" s="25"/>
    </row>
    <row r="3" spans="1:15" x14ac:dyDescent="0.3">
      <c r="B3" s="27"/>
      <c r="C3" s="28" t="s">
        <v>62</v>
      </c>
      <c r="D3" s="29" t="s">
        <v>63</v>
      </c>
      <c r="E3" s="29" t="s">
        <v>64</v>
      </c>
      <c r="F3" s="29" t="s">
        <v>65</v>
      </c>
      <c r="G3" s="30" t="s">
        <v>66</v>
      </c>
      <c r="H3" s="3" t="s">
        <v>67</v>
      </c>
      <c r="I3" s="78" t="s">
        <v>68</v>
      </c>
      <c r="J3" s="78"/>
      <c r="K3" s="29" t="s">
        <v>69</v>
      </c>
      <c r="L3" s="29" t="s">
        <v>70</v>
      </c>
      <c r="M3" s="29" t="s">
        <v>71</v>
      </c>
      <c r="N3" s="31" t="s">
        <v>72</v>
      </c>
      <c r="O3" s="32" t="s">
        <v>73</v>
      </c>
    </row>
    <row r="4" spans="1:15" x14ac:dyDescent="0.3">
      <c r="A4" s="11">
        <v>1</v>
      </c>
      <c r="B4" s="33" t="s">
        <v>74</v>
      </c>
      <c r="C4" s="12" t="s">
        <v>7</v>
      </c>
      <c r="D4" s="13" t="s">
        <v>8</v>
      </c>
      <c r="E4" s="13" t="s">
        <v>9</v>
      </c>
      <c r="F4" s="13" t="s">
        <v>75</v>
      </c>
      <c r="G4" s="34" t="s">
        <v>76</v>
      </c>
      <c r="H4" s="35"/>
      <c r="I4" s="13" t="s">
        <v>77</v>
      </c>
      <c r="J4" s="13" t="s">
        <v>78</v>
      </c>
      <c r="K4" s="36">
        <v>1</v>
      </c>
      <c r="L4" s="37">
        <v>1</v>
      </c>
      <c r="M4" s="37"/>
      <c r="N4" s="38">
        <v>1</v>
      </c>
      <c r="O4" s="39"/>
    </row>
    <row r="5" spans="1:15" x14ac:dyDescent="0.3">
      <c r="A5" s="11">
        <v>2</v>
      </c>
      <c r="B5" s="33" t="s">
        <v>74</v>
      </c>
      <c r="C5" s="12" t="s">
        <v>11</v>
      </c>
      <c r="D5" s="13" t="s">
        <v>12</v>
      </c>
      <c r="E5" s="13" t="s">
        <v>13</v>
      </c>
      <c r="F5" s="13" t="s">
        <v>79</v>
      </c>
      <c r="G5" s="34" t="s">
        <v>80</v>
      </c>
      <c r="H5" s="35"/>
      <c r="I5" s="13" t="s">
        <v>77</v>
      </c>
      <c r="J5" s="13" t="s">
        <v>81</v>
      </c>
      <c r="K5" s="36">
        <v>1</v>
      </c>
      <c r="L5" s="37"/>
      <c r="M5" s="37"/>
      <c r="N5" s="38"/>
      <c r="O5" s="39"/>
    </row>
    <row r="6" spans="1:15" x14ac:dyDescent="0.3">
      <c r="A6" s="11">
        <v>3</v>
      </c>
      <c r="B6" s="33" t="s">
        <v>74</v>
      </c>
      <c r="C6" s="16">
        <v>21233439</v>
      </c>
      <c r="D6" s="13" t="s">
        <v>14</v>
      </c>
      <c r="E6" s="13" t="s">
        <v>15</v>
      </c>
      <c r="F6" s="13" t="s">
        <v>75</v>
      </c>
      <c r="G6" s="35" t="s">
        <v>82</v>
      </c>
      <c r="H6" s="35"/>
      <c r="I6" s="13" t="s">
        <v>77</v>
      </c>
      <c r="J6" s="13" t="s">
        <v>78</v>
      </c>
      <c r="K6" s="36">
        <v>1</v>
      </c>
      <c r="L6" s="37">
        <v>1</v>
      </c>
      <c r="M6" s="40">
        <v>1</v>
      </c>
      <c r="N6" s="38">
        <v>1</v>
      </c>
      <c r="O6" s="39"/>
    </row>
    <row r="7" spans="1:15" x14ac:dyDescent="0.3">
      <c r="A7" s="11">
        <v>4</v>
      </c>
      <c r="B7" s="33" t="s">
        <v>74</v>
      </c>
      <c r="C7" s="12" t="s">
        <v>16</v>
      </c>
      <c r="D7" s="17" t="s">
        <v>17</v>
      </c>
      <c r="E7" s="17" t="s">
        <v>18</v>
      </c>
      <c r="F7" s="13" t="s">
        <v>83</v>
      </c>
      <c r="G7" s="14" t="s">
        <v>84</v>
      </c>
      <c r="H7" s="14"/>
      <c r="I7" s="13" t="s">
        <v>77</v>
      </c>
      <c r="J7" s="13" t="s">
        <v>78</v>
      </c>
      <c r="K7" s="36">
        <v>1</v>
      </c>
      <c r="L7" s="37">
        <v>1</v>
      </c>
      <c r="M7" s="37">
        <v>1</v>
      </c>
      <c r="N7" s="38">
        <v>1</v>
      </c>
      <c r="O7" s="39"/>
    </row>
    <row r="8" spans="1:15" x14ac:dyDescent="0.3">
      <c r="A8" s="11">
        <v>5</v>
      </c>
      <c r="B8" s="33" t="s">
        <v>74</v>
      </c>
      <c r="C8" s="12" t="s">
        <v>19</v>
      </c>
      <c r="D8" s="13" t="s">
        <v>20</v>
      </c>
      <c r="E8" s="13" t="s">
        <v>21</v>
      </c>
      <c r="F8" s="13" t="s">
        <v>85</v>
      </c>
      <c r="G8" s="35" t="s">
        <v>86</v>
      </c>
      <c r="H8" s="35"/>
      <c r="I8" s="13" t="s">
        <v>77</v>
      </c>
      <c r="J8" s="13" t="s">
        <v>81</v>
      </c>
      <c r="K8" s="36">
        <v>1</v>
      </c>
      <c r="L8" s="37">
        <v>1</v>
      </c>
      <c r="M8" s="37"/>
      <c r="N8" s="38"/>
      <c r="O8" s="39"/>
    </row>
    <row r="9" spans="1:15" x14ac:dyDescent="0.3">
      <c r="A9" s="11">
        <v>6</v>
      </c>
      <c r="B9" s="33" t="s">
        <v>74</v>
      </c>
      <c r="C9" s="12" t="s">
        <v>22</v>
      </c>
      <c r="D9" s="13" t="s">
        <v>23</v>
      </c>
      <c r="E9" s="13" t="s">
        <v>24</v>
      </c>
      <c r="F9" s="13" t="s">
        <v>87</v>
      </c>
      <c r="G9" s="35" t="s">
        <v>88</v>
      </c>
      <c r="H9" s="35"/>
      <c r="I9" s="13" t="s">
        <v>77</v>
      </c>
      <c r="J9" s="13" t="s">
        <v>81</v>
      </c>
      <c r="K9" s="36">
        <v>1</v>
      </c>
      <c r="L9" s="37">
        <v>1</v>
      </c>
      <c r="M9" s="37"/>
      <c r="N9" s="38"/>
      <c r="O9" s="39"/>
    </row>
    <row r="10" spans="1:15" x14ac:dyDescent="0.3">
      <c r="A10" s="11">
        <v>7</v>
      </c>
      <c r="B10" s="33" t="s">
        <v>74</v>
      </c>
      <c r="C10" s="12" t="s">
        <v>89</v>
      </c>
      <c r="D10" s="41" t="s">
        <v>90</v>
      </c>
      <c r="E10" s="18" t="s">
        <v>56</v>
      </c>
      <c r="F10" s="18" t="s">
        <v>75</v>
      </c>
      <c r="G10" s="42" t="s">
        <v>91</v>
      </c>
      <c r="H10" s="42"/>
      <c r="I10" s="43" t="s">
        <v>92</v>
      </c>
      <c r="J10" s="36">
        <v>1</v>
      </c>
      <c r="K10" s="38">
        <v>1</v>
      </c>
      <c r="L10" s="44"/>
      <c r="M10" s="45"/>
      <c r="N10" s="46"/>
      <c r="O10" s="39"/>
    </row>
    <row r="11" spans="1:15" x14ac:dyDescent="0.3">
      <c r="A11" s="11">
        <v>8</v>
      </c>
      <c r="B11" s="33" t="s">
        <v>74</v>
      </c>
      <c r="C11" s="12" t="s">
        <v>25</v>
      </c>
      <c r="D11" s="12" t="s">
        <v>26</v>
      </c>
      <c r="E11" s="12" t="s">
        <v>27</v>
      </c>
      <c r="F11" s="12" t="s">
        <v>75</v>
      </c>
      <c r="G11" s="14" t="s">
        <v>93</v>
      </c>
      <c r="H11" s="14" t="s">
        <v>94</v>
      </c>
      <c r="I11" s="13" t="s">
        <v>95</v>
      </c>
      <c r="J11" s="13" t="s">
        <v>81</v>
      </c>
      <c r="K11" s="36">
        <v>1</v>
      </c>
      <c r="L11" s="37">
        <v>1</v>
      </c>
      <c r="M11" s="37"/>
      <c r="N11" s="38"/>
      <c r="O11" s="39"/>
    </row>
    <row r="12" spans="1:15" x14ac:dyDescent="0.3">
      <c r="A12" s="11">
        <v>9</v>
      </c>
      <c r="B12" s="33" t="s">
        <v>74</v>
      </c>
      <c r="C12" s="12" t="s">
        <v>28</v>
      </c>
      <c r="D12" s="13" t="s">
        <v>29</v>
      </c>
      <c r="E12" s="13" t="s">
        <v>30</v>
      </c>
      <c r="F12" s="13" t="s">
        <v>96</v>
      </c>
      <c r="G12" s="35" t="s">
        <v>97</v>
      </c>
      <c r="H12" s="35"/>
      <c r="I12" s="13" t="s">
        <v>77</v>
      </c>
      <c r="J12" s="13" t="s">
        <v>81</v>
      </c>
      <c r="K12" s="36">
        <v>1</v>
      </c>
      <c r="L12" s="37">
        <v>1</v>
      </c>
      <c r="M12" s="37"/>
      <c r="N12" s="38"/>
      <c r="O12" s="39"/>
    </row>
    <row r="13" spans="1:15" x14ac:dyDescent="0.3">
      <c r="A13" s="11">
        <v>10</v>
      </c>
      <c r="B13" s="33" t="s">
        <v>74</v>
      </c>
      <c r="C13" s="12" t="s">
        <v>31</v>
      </c>
      <c r="D13" s="12" t="s">
        <v>32</v>
      </c>
      <c r="E13" s="12" t="s">
        <v>33</v>
      </c>
      <c r="F13" s="12" t="s">
        <v>75</v>
      </c>
      <c r="G13" s="14" t="s">
        <v>98</v>
      </c>
      <c r="H13" s="14"/>
      <c r="I13" s="13" t="s">
        <v>77</v>
      </c>
      <c r="J13" s="13" t="s">
        <v>81</v>
      </c>
      <c r="K13" s="36">
        <v>1</v>
      </c>
      <c r="L13" s="37">
        <v>1</v>
      </c>
      <c r="M13" s="37">
        <v>1</v>
      </c>
      <c r="N13" s="38">
        <v>1</v>
      </c>
      <c r="O13" s="39"/>
    </row>
    <row r="14" spans="1:15" x14ac:dyDescent="0.3">
      <c r="A14" s="11">
        <v>11</v>
      </c>
      <c r="B14" s="33" t="s">
        <v>74</v>
      </c>
      <c r="C14" s="12" t="s">
        <v>34</v>
      </c>
      <c r="D14" s="18" t="s">
        <v>35</v>
      </c>
      <c r="E14" s="18" t="s">
        <v>36</v>
      </c>
      <c r="F14" s="18" t="s">
        <v>99</v>
      </c>
      <c r="G14" s="42" t="s">
        <v>100</v>
      </c>
      <c r="H14" s="42"/>
      <c r="I14" s="43" t="s">
        <v>77</v>
      </c>
      <c r="J14" s="43" t="s">
        <v>81</v>
      </c>
      <c r="K14" s="36">
        <v>1</v>
      </c>
      <c r="L14" s="37">
        <v>1</v>
      </c>
      <c r="M14" s="37">
        <v>1</v>
      </c>
      <c r="N14" s="38"/>
      <c r="O14" s="47"/>
    </row>
    <row r="15" spans="1:15" x14ac:dyDescent="0.3">
      <c r="A15" s="11">
        <v>12</v>
      </c>
      <c r="B15" s="33" t="s">
        <v>74</v>
      </c>
      <c r="C15" s="12" t="s">
        <v>37</v>
      </c>
      <c r="D15" s="13" t="s">
        <v>38</v>
      </c>
      <c r="E15" s="13" t="s">
        <v>39</v>
      </c>
      <c r="F15" s="13" t="s">
        <v>83</v>
      </c>
      <c r="G15" s="35" t="s">
        <v>101</v>
      </c>
      <c r="H15" s="35"/>
      <c r="I15" s="13" t="s">
        <v>77</v>
      </c>
      <c r="J15" s="13" t="s">
        <v>81</v>
      </c>
      <c r="K15" s="36">
        <v>1</v>
      </c>
      <c r="L15" s="37">
        <v>1</v>
      </c>
      <c r="M15" s="37"/>
      <c r="N15" s="38"/>
      <c r="O15" s="39"/>
    </row>
    <row r="16" spans="1:15" x14ac:dyDescent="0.3">
      <c r="A16" s="11">
        <v>13</v>
      </c>
      <c r="B16" s="33" t="s">
        <v>74</v>
      </c>
      <c r="C16" s="12" t="s">
        <v>40</v>
      </c>
      <c r="D16" s="13" t="s">
        <v>41</v>
      </c>
      <c r="E16" s="13" t="s">
        <v>42</v>
      </c>
      <c r="F16" s="13" t="s">
        <v>102</v>
      </c>
      <c r="G16" s="35" t="s">
        <v>103</v>
      </c>
      <c r="H16" s="35"/>
      <c r="I16" s="13" t="s">
        <v>77</v>
      </c>
      <c r="J16" s="13" t="s">
        <v>81</v>
      </c>
      <c r="K16" s="36">
        <v>1</v>
      </c>
      <c r="L16" s="37"/>
      <c r="M16" s="37"/>
      <c r="N16" s="38"/>
      <c r="O16" s="39"/>
    </row>
    <row r="17" spans="1:15" x14ac:dyDescent="0.3">
      <c r="A17" s="11">
        <v>14</v>
      </c>
      <c r="B17" s="33" t="s">
        <v>74</v>
      </c>
      <c r="C17" s="12" t="s">
        <v>43</v>
      </c>
      <c r="D17" s="13" t="s">
        <v>44</v>
      </c>
      <c r="E17" s="13" t="s">
        <v>45</v>
      </c>
      <c r="F17" s="13" t="s">
        <v>75</v>
      </c>
      <c r="G17" s="14" t="s">
        <v>104</v>
      </c>
      <c r="H17" s="14"/>
      <c r="I17" s="13" t="s">
        <v>77</v>
      </c>
      <c r="J17" s="13" t="s">
        <v>81</v>
      </c>
      <c r="K17" s="48">
        <v>1</v>
      </c>
      <c r="L17" s="49">
        <v>1</v>
      </c>
      <c r="M17" s="49"/>
      <c r="N17" s="50">
        <v>1</v>
      </c>
      <c r="O17" s="51"/>
    </row>
    <row r="18" spans="1:15" x14ac:dyDescent="0.3">
      <c r="A18" s="11">
        <v>15</v>
      </c>
      <c r="B18" s="33" t="s">
        <v>74</v>
      </c>
      <c r="C18" s="12" t="s">
        <v>46</v>
      </c>
      <c r="D18" s="13" t="s">
        <v>47</v>
      </c>
      <c r="E18" s="13" t="s">
        <v>48</v>
      </c>
      <c r="F18" s="13" t="s">
        <v>105</v>
      </c>
      <c r="G18" s="35" t="s">
        <v>106</v>
      </c>
      <c r="H18" s="35"/>
      <c r="I18" s="13" t="s">
        <v>77</v>
      </c>
      <c r="J18" s="13" t="s">
        <v>81</v>
      </c>
      <c r="K18" s="36">
        <v>1</v>
      </c>
      <c r="L18" s="37">
        <v>1</v>
      </c>
      <c r="M18" s="37"/>
      <c r="N18" s="38"/>
      <c r="O18" s="39"/>
    </row>
    <row r="19" spans="1:15" x14ac:dyDescent="0.3">
      <c r="A19" s="11">
        <v>16</v>
      </c>
      <c r="B19" s="33" t="s">
        <v>74</v>
      </c>
      <c r="C19" s="12" t="s">
        <v>49</v>
      </c>
      <c r="D19" s="12" t="s">
        <v>50</v>
      </c>
      <c r="E19" s="12" t="s">
        <v>51</v>
      </c>
      <c r="F19" s="12" t="s">
        <v>83</v>
      </c>
      <c r="G19" s="14" t="s">
        <v>107</v>
      </c>
      <c r="H19" s="14"/>
      <c r="I19" s="13" t="s">
        <v>108</v>
      </c>
      <c r="J19" s="13" t="s">
        <v>81</v>
      </c>
      <c r="K19" s="36">
        <v>1</v>
      </c>
      <c r="L19" s="37">
        <v>1</v>
      </c>
      <c r="M19" s="37"/>
      <c r="N19" s="38"/>
      <c r="O19" s="39"/>
    </row>
    <row r="20" spans="1:15" ht="15" thickBot="1" x14ac:dyDescent="0.35">
      <c r="A20" s="19">
        <v>17</v>
      </c>
      <c r="B20" s="52" t="s">
        <v>74</v>
      </c>
      <c r="C20" s="53" t="s">
        <v>52</v>
      </c>
      <c r="D20" s="54" t="s">
        <v>53</v>
      </c>
      <c r="E20" s="54" t="s">
        <v>54</v>
      </c>
      <c r="F20" s="54" t="s">
        <v>75</v>
      </c>
      <c r="G20" s="55" t="s">
        <v>109</v>
      </c>
      <c r="H20" s="55"/>
      <c r="I20" s="54" t="s">
        <v>77</v>
      </c>
      <c r="J20" s="54" t="s">
        <v>81</v>
      </c>
      <c r="K20" s="56">
        <v>1</v>
      </c>
      <c r="L20" s="57">
        <v>1</v>
      </c>
      <c r="M20" s="57"/>
      <c r="N20" s="58"/>
      <c r="O20" s="59"/>
    </row>
    <row r="21" spans="1:15" ht="15" thickBot="1" x14ac:dyDescent="0.35">
      <c r="K21" s="27">
        <f>SUM(K4:K20)</f>
        <v>17</v>
      </c>
      <c r="L21" s="27">
        <f>SUM(L4:L20)</f>
        <v>14</v>
      </c>
      <c r="M21" s="27">
        <f>SUM(M4:M20)</f>
        <v>4</v>
      </c>
      <c r="N21" s="27">
        <f>SUM(N4:N20)</f>
        <v>5</v>
      </c>
    </row>
    <row r="22" spans="1:15" ht="15" thickBot="1" x14ac:dyDescent="0.35">
      <c r="A22" s="60">
        <v>18</v>
      </c>
      <c r="B22" s="61" t="s">
        <v>110</v>
      </c>
      <c r="C22" s="62">
        <v>25029396</v>
      </c>
      <c r="D22" s="62" t="s">
        <v>111</v>
      </c>
      <c r="E22" s="62" t="s">
        <v>112</v>
      </c>
      <c r="F22" s="62" t="s">
        <v>113</v>
      </c>
      <c r="G22" s="63" t="s">
        <v>114</v>
      </c>
      <c r="H22" s="63" t="s">
        <v>115</v>
      </c>
      <c r="I22" s="64" t="s">
        <v>116</v>
      </c>
      <c r="J22" s="62"/>
      <c r="K22" s="62"/>
      <c r="L22" s="62"/>
      <c r="M22" s="62"/>
      <c r="N22" s="62"/>
      <c r="O22" s="65"/>
    </row>
  </sheetData>
  <mergeCells count="1">
    <mergeCell ref="I3:J3"/>
  </mergeCells>
  <hyperlinks>
    <hyperlink ref="G4" r:id="rId1" xr:uid="{D15A3CD0-8158-4960-B477-4954FF3B1AD1}"/>
    <hyperlink ref="G6" r:id="rId2" display="mailto:octave.DE-SAINT-MARTIN@etu.univ-amu.fr" xr:uid="{66AF09FE-D0BD-4796-A3EE-620B313D34B2}"/>
    <hyperlink ref="G8" r:id="rId3" display="mailto:hassan.EL-MIR@etu.univ-amu.fr" xr:uid="{374A7284-8429-4F19-990C-89D7A264F650}"/>
    <hyperlink ref="G9" r:id="rId4" display="mailto:santiago.fonseca-guerrero@etu.univ-amu.fr" xr:uid="{184716F7-B997-47B8-B1D6-8A80EBF17C08}"/>
    <hyperlink ref="G12" r:id="rId5" display="mailto:mark.kuznetcov@etu.univ-amu.fr" xr:uid="{F6114926-FB36-4619-96B4-5675BC68DBC7}"/>
    <hyperlink ref="G15" r:id="rId6" display="mailto:khadijatou.loum@etu.univ-amu.fr" xr:uid="{D3CF790A-3F95-49F0-93EC-8DDF10BDC1DF}"/>
    <hyperlink ref="G18" r:id="rId7" display="mailto:vortey.phon@etu.univ-amu.fr" xr:uid="{B2F92A8A-F2C3-4522-B0B6-59CE05F0417F}"/>
    <hyperlink ref="G16" r:id="rId8" display="mailto:yating.lu@etu.univ-amu.fr" xr:uid="{335701AF-AC00-402A-81D5-E49AF38762BE}"/>
    <hyperlink ref="G5" r:id="rId9" xr:uid="{A09BC410-3AB9-4C91-A49E-1DA5ADE7488D}"/>
    <hyperlink ref="G14" r:id="rId10" display="mailto:betsy-jakelin.laines-medina@etu.univ-amu.fr" xr:uid="{69CE6FAA-040A-464D-8581-FEDDC0BF02BF}"/>
    <hyperlink ref="H1" r:id="rId11" xr:uid="{D85AC4CD-B503-4ACC-8B3C-72DA68278988}"/>
    <hyperlink ref="H22" r:id="rId12" xr:uid="{9948B392-8B41-4198-B7A5-493B6EDD22E2}"/>
    <hyperlink ref="G10" r:id="rId13" display="mailto:cindy.jmili@etu.univ-amu.fr" xr:uid="{6355E93E-AC2E-48FB-B035-619D4BCB7F4D}"/>
  </hyperlinks>
  <pageMargins left="0.7" right="0.7" top="0.75" bottom="0.75" header="0.3" footer="0.3"/>
  <pageSetup paperSize="9"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Emargement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ALPACCA Emilie</dc:creator>
  <cp:lastModifiedBy>nicole hanssen</cp:lastModifiedBy>
  <dcterms:created xsi:type="dcterms:W3CDTF">2025-09-09T07:11:14Z</dcterms:created>
  <dcterms:modified xsi:type="dcterms:W3CDTF">2025-09-09T09:15:48Z</dcterms:modified>
</cp:coreProperties>
</file>